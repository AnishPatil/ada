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shpatil/Documents/ADA_Project/ada/prompt_engineering/"/>
    </mc:Choice>
  </mc:AlternateContent>
  <xr:revisionPtr revIDLastSave="0" documentId="13_ncr:1_{BC6C81AD-E71A-BE44-9928-163230C9C240}" xr6:coauthVersionLast="47" xr6:coauthVersionMax="47" xr10:uidLastSave="{00000000-0000-0000-0000-000000000000}"/>
  <bookViews>
    <workbookView xWindow="1100" yWindow="900" windowWidth="28040" windowHeight="17180" xr2:uid="{5DE70879-3FA9-AF48-9CCA-641EB49730F0}"/>
  </bookViews>
  <sheets>
    <sheet name="GenericTes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6" i="1"/>
</calcChain>
</file>

<file path=xl/sharedStrings.xml><?xml version="1.0" encoding="utf-8"?>
<sst xmlns="http://schemas.openxmlformats.org/spreadsheetml/2006/main" count="93" uniqueCount="38">
  <si>
    <t>GENERIC TEST 1:</t>
  </si>
  <si>
    <t>Prompt: "Give me an airfoil"</t>
  </si>
  <si>
    <t>Desired output: Generates NACA2412 airfoil</t>
  </si>
  <si>
    <t>Iteration</t>
  </si>
  <si>
    <t>Time (s)</t>
  </si>
  <si>
    <t>Cumulative Success</t>
  </si>
  <si>
    <t>Success? (0/1)</t>
  </si>
  <si>
    <t>Notes</t>
  </si>
  <si>
    <t>Model: GPT-5.2 (cloud based)</t>
  </si>
  <si>
    <t>Generated 3 airfoils</t>
  </si>
  <si>
    <t>Generated 2 airfoils</t>
  </si>
  <si>
    <t>Infinitely Iterated</t>
  </si>
  <si>
    <t>Infinitely iterated</t>
  </si>
  <si>
    <t>Generated 4 airfoils</t>
  </si>
  <si>
    <t>Model: GPT-5.5 (cloud based)</t>
  </si>
  <si>
    <t>Prompt: "give me a naca2412 and change the upper surface to have more camber"</t>
  </si>
  <si>
    <t>Desired output: Generates NACA2412 with a noticeably taller arch on the upper surface, lower surface stays normal</t>
  </si>
  <si>
    <t>Increased K[1] for upper surface to 0.2</t>
  </si>
  <si>
    <t>Increased K[1] for upper surface to 0.2 (from 0.180128)</t>
  </si>
  <si>
    <t>Decreased K[1] for upper surface to 0.12</t>
  </si>
  <si>
    <t>Decreased K[1] for upper surface to 0.08</t>
  </si>
  <si>
    <t>Decreased K[1] for upper surface to 0.10</t>
  </si>
  <si>
    <t>Decreased K[1] for upper surface to 0.15</t>
  </si>
  <si>
    <t xml:space="preserve">Observation: </t>
  </si>
  <si>
    <t>Increased K[2] for upper surface to 0.2</t>
  </si>
  <si>
    <t>Decreased K[2] for upper surface to 0.08 {from 0.211431}</t>
  </si>
  <si>
    <t>Multiple modifyGeometry calls are made, some with arguments "None" for all parameters. Others have variation for Index parameter, it will be either "1" or "K[1]". The value parameter also varies.</t>
  </si>
  <si>
    <t>Increased K[1] for upper surface to 0.25</t>
  </si>
  <si>
    <t>Mostly changes only K[1], or rarely K[2] for upper surface, and by a small amount (increase or decrease). Default K[1] value for NACA2412 is 0.180128. Default K[2] os 0.211431. Only changes one parameter unless  instructed</t>
  </si>
  <si>
    <t>Desired output: Generates NACA2412 with a noticeably taller arch on the upper surface, lower surface stays normal (multiple K values for upper surface changed)</t>
  </si>
  <si>
    <t>Prompt: "give me a naca2412 airfoil and change the upper surface to have more camber. Change multiple K parameters to increase the camber."</t>
  </si>
  <si>
    <t>K[1] = 0.35, K[2] = 0.08</t>
  </si>
  <si>
    <t>Observation:</t>
  </si>
  <si>
    <t>Default K values for NACA2412 airfoil:</t>
  </si>
  <si>
    <t>K[1] = 0.08, K[2] = 0.08 (thinner leading edge)</t>
  </si>
  <si>
    <t>K[1] = 0.08</t>
  </si>
  <si>
    <t>K[1] = 0.18</t>
  </si>
  <si>
    <t>After giving the model context of what it has changed before, it now iterates through each K value properly as per the user's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</si>
</sst>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49</xdr:row>
      <xdr:rowOff>0</xdr:rowOff>
    </xdr:from>
    <xdr:to>
      <xdr:col>10</xdr:col>
      <xdr:colOff>304800</xdr:colOff>
      <xdr:row>50</xdr:row>
      <xdr:rowOff>101600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CEFD2FD-C8D0-B956-F68D-8D141E6BA870}"/>
            </a:ext>
          </a:extLst>
        </xdr:cNvPr>
        <xdr:cNvSpPr>
          <a:spLocks noChangeAspect="1" noChangeArrowheads="1"/>
        </xdr:cNvSpPr>
      </xdr:nvSpPr>
      <xdr:spPr bwMode="auto">
        <a:xfrm>
          <a:off x="9245600" y="99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304800</xdr:colOff>
      <xdr:row>44</xdr:row>
      <xdr:rowOff>101600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3667BE16-36A6-7ACD-F638-0F550FBBBE9E}"/>
            </a:ext>
          </a:extLst>
        </xdr:cNvPr>
        <xdr:cNvSpPr>
          <a:spLocks noChangeAspect="1" noChangeArrowheads="1"/>
        </xdr:cNvSpPr>
      </xdr:nvSpPr>
      <xdr:spPr bwMode="auto">
        <a:xfrm>
          <a:off x="106807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811090</xdr:colOff>
      <xdr:row>38</xdr:row>
      <xdr:rowOff>21345</xdr:rowOff>
    </xdr:from>
    <xdr:to>
      <xdr:col>14</xdr:col>
      <xdr:colOff>397008</xdr:colOff>
      <xdr:row>53</xdr:row>
      <xdr:rowOff>53362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8D3C4-77B2-DE78-3563-7FD1CFBB1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0166" y="7726723"/>
          <a:ext cx="4303060" cy="3073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A421-89C9-294B-B6FD-116BA23ED89F}">
  <dimension ref="A1:U65"/>
  <sheetViews>
    <sheetView tabSelected="1" zoomScale="56" workbookViewId="0">
      <selection activeCell="T46" sqref="T46"/>
    </sheetView>
  </sheetViews>
  <sheetFormatPr baseColWidth="10" defaultRowHeight="16" x14ac:dyDescent="0.2"/>
  <cols>
    <col min="2" max="2" width="14" customWidth="1"/>
    <col min="4" max="4" width="17.6640625" customWidth="1"/>
    <col min="9" max="9" width="13.83203125" customWidth="1"/>
    <col min="11" max="11" width="18.83203125" customWidth="1"/>
    <col min="18" max="18" width="12" customWidth="1"/>
    <col min="20" max="20" width="17.33203125" customWidth="1"/>
  </cols>
  <sheetData>
    <row r="1" spans="1:12" x14ac:dyDescent="0.2">
      <c r="A1" s="1" t="s">
        <v>0</v>
      </c>
      <c r="H1" s="1"/>
    </row>
    <row r="2" spans="1:12" x14ac:dyDescent="0.2">
      <c r="A2" t="s">
        <v>1</v>
      </c>
      <c r="H2" t="s">
        <v>1</v>
      </c>
    </row>
    <row r="3" spans="1:12" x14ac:dyDescent="0.2">
      <c r="A3" t="s">
        <v>2</v>
      </c>
      <c r="H3" t="s">
        <v>2</v>
      </c>
    </row>
    <row r="4" spans="1:12" x14ac:dyDescent="0.2">
      <c r="A4" t="s">
        <v>8</v>
      </c>
      <c r="H4" t="s">
        <v>14</v>
      </c>
    </row>
    <row r="5" spans="1:12" x14ac:dyDescent="0.2">
      <c r="A5" s="1" t="s">
        <v>3</v>
      </c>
      <c r="B5" s="1" t="s">
        <v>6</v>
      </c>
      <c r="C5" s="1" t="s">
        <v>4</v>
      </c>
      <c r="D5" s="1" t="s">
        <v>5</v>
      </c>
      <c r="E5" s="1" t="s">
        <v>7</v>
      </c>
      <c r="H5" s="1" t="s">
        <v>3</v>
      </c>
      <c r="I5" s="1" t="s">
        <v>6</v>
      </c>
      <c r="J5" s="1" t="s">
        <v>4</v>
      </c>
      <c r="K5" s="1" t="s">
        <v>5</v>
      </c>
      <c r="L5" s="1" t="s">
        <v>7</v>
      </c>
    </row>
    <row r="6" spans="1:12" x14ac:dyDescent="0.2">
      <c r="A6">
        <v>1</v>
      </c>
      <c r="B6">
        <v>0</v>
      </c>
      <c r="C6">
        <v>9.41</v>
      </c>
      <c r="D6">
        <v>0</v>
      </c>
      <c r="E6" t="s">
        <v>9</v>
      </c>
      <c r="H6">
        <v>1</v>
      </c>
      <c r="I6">
        <v>1</v>
      </c>
      <c r="J6">
        <v>5.91</v>
      </c>
      <c r="K6" s="3">
        <f>H6/(SUM($I$6:I6))</f>
        <v>1</v>
      </c>
    </row>
    <row r="7" spans="1:12" x14ac:dyDescent="0.2">
      <c r="A7">
        <v>2</v>
      </c>
      <c r="B7">
        <v>0</v>
      </c>
      <c r="C7">
        <v>8.75</v>
      </c>
      <c r="D7">
        <v>0</v>
      </c>
      <c r="E7" t="s">
        <v>9</v>
      </c>
      <c r="H7">
        <v>2</v>
      </c>
      <c r="I7">
        <v>1</v>
      </c>
      <c r="J7">
        <v>5.14</v>
      </c>
      <c r="K7" s="3">
        <f>H7/(SUM($I$6:I7))</f>
        <v>1</v>
      </c>
    </row>
    <row r="8" spans="1:12" x14ac:dyDescent="0.2">
      <c r="A8">
        <v>3</v>
      </c>
      <c r="B8">
        <v>0</v>
      </c>
      <c r="C8">
        <v>9.86</v>
      </c>
      <c r="D8">
        <v>0</v>
      </c>
      <c r="E8" t="s">
        <v>9</v>
      </c>
      <c r="H8">
        <v>3</v>
      </c>
      <c r="I8">
        <v>1</v>
      </c>
      <c r="J8">
        <v>4.34</v>
      </c>
      <c r="K8" s="3">
        <f>H8/(SUM($I$6:I8))</f>
        <v>1</v>
      </c>
    </row>
    <row r="9" spans="1:12" x14ac:dyDescent="0.2">
      <c r="A9">
        <v>4</v>
      </c>
      <c r="B9">
        <v>0</v>
      </c>
      <c r="C9">
        <v>5.76</v>
      </c>
      <c r="D9">
        <v>0</v>
      </c>
      <c r="E9" t="s">
        <v>10</v>
      </c>
      <c r="H9">
        <v>4</v>
      </c>
      <c r="I9">
        <v>1</v>
      </c>
      <c r="J9">
        <v>4.3600000000000003</v>
      </c>
      <c r="K9" s="3">
        <f>H9/(SUM($I$6:I9))</f>
        <v>1</v>
      </c>
    </row>
    <row r="10" spans="1:12" x14ac:dyDescent="0.2">
      <c r="A10">
        <v>5</v>
      </c>
      <c r="B10">
        <v>0</v>
      </c>
      <c r="C10" s="2"/>
      <c r="D10">
        <v>0</v>
      </c>
      <c r="E10" t="s">
        <v>11</v>
      </c>
      <c r="H10">
        <v>5</v>
      </c>
      <c r="I10">
        <v>1</v>
      </c>
      <c r="J10">
        <v>5.21</v>
      </c>
      <c r="K10" s="3">
        <f>H10/(SUM($I$6:I10))</f>
        <v>1</v>
      </c>
    </row>
    <row r="11" spans="1:12" x14ac:dyDescent="0.2">
      <c r="A11">
        <v>6</v>
      </c>
      <c r="B11">
        <v>0</v>
      </c>
      <c r="C11">
        <v>8.83</v>
      </c>
      <c r="D11">
        <v>0</v>
      </c>
      <c r="E11" t="s">
        <v>9</v>
      </c>
      <c r="H11">
        <v>6</v>
      </c>
      <c r="I11">
        <v>1</v>
      </c>
      <c r="J11">
        <v>4.12</v>
      </c>
      <c r="K11" s="3">
        <f>H11/(SUM($I$6:I11))</f>
        <v>1</v>
      </c>
    </row>
    <row r="12" spans="1:12" x14ac:dyDescent="0.2">
      <c r="A12">
        <v>7</v>
      </c>
      <c r="B12">
        <v>0</v>
      </c>
      <c r="C12">
        <v>8.1300000000000008</v>
      </c>
      <c r="D12">
        <v>0</v>
      </c>
      <c r="E12" t="s">
        <v>9</v>
      </c>
      <c r="H12">
        <v>7</v>
      </c>
      <c r="I12">
        <v>1</v>
      </c>
      <c r="J12">
        <v>4.29</v>
      </c>
      <c r="K12" s="3">
        <f>H12/(SUM($I$6:I12))</f>
        <v>1</v>
      </c>
    </row>
    <row r="13" spans="1:12" x14ac:dyDescent="0.2">
      <c r="A13">
        <v>8</v>
      </c>
      <c r="B13">
        <v>0</v>
      </c>
      <c r="C13">
        <v>6.73</v>
      </c>
      <c r="D13">
        <v>0</v>
      </c>
      <c r="E13" t="s">
        <v>9</v>
      </c>
      <c r="H13">
        <v>8</v>
      </c>
      <c r="I13">
        <v>1</v>
      </c>
      <c r="J13">
        <v>3.4</v>
      </c>
      <c r="K13" s="3">
        <f>H13/(SUM($I$6:I13))</f>
        <v>1</v>
      </c>
    </row>
    <row r="14" spans="1:12" x14ac:dyDescent="0.2">
      <c r="A14">
        <v>9</v>
      </c>
      <c r="B14">
        <v>0</v>
      </c>
      <c r="C14">
        <v>6.76</v>
      </c>
      <c r="D14">
        <v>0</v>
      </c>
      <c r="E14" t="s">
        <v>9</v>
      </c>
      <c r="H14">
        <v>9</v>
      </c>
      <c r="I14">
        <v>1</v>
      </c>
      <c r="J14">
        <v>3.99</v>
      </c>
      <c r="K14" s="3">
        <f>H14/(SUM($I$6:I14))</f>
        <v>1</v>
      </c>
    </row>
    <row r="15" spans="1:12" x14ac:dyDescent="0.2">
      <c r="A15">
        <v>10</v>
      </c>
      <c r="B15">
        <v>0</v>
      </c>
      <c r="C15" s="2"/>
      <c r="D15">
        <v>0</v>
      </c>
      <c r="E15" t="s">
        <v>11</v>
      </c>
      <c r="H15">
        <v>10</v>
      </c>
      <c r="I15">
        <v>1</v>
      </c>
      <c r="J15">
        <v>4.45</v>
      </c>
      <c r="K15" s="3">
        <f>H15/(SUM($I$6:I15))</f>
        <v>1</v>
      </c>
    </row>
    <row r="16" spans="1:12" x14ac:dyDescent="0.2">
      <c r="A16">
        <v>11</v>
      </c>
      <c r="B16">
        <v>0</v>
      </c>
      <c r="C16">
        <v>7.8</v>
      </c>
      <c r="D16">
        <v>0</v>
      </c>
      <c r="E16" t="s">
        <v>9</v>
      </c>
      <c r="H16">
        <v>11</v>
      </c>
      <c r="I16">
        <v>1</v>
      </c>
      <c r="J16">
        <v>4.29</v>
      </c>
      <c r="K16" s="3">
        <f>H16/(SUM($I$6:I16))</f>
        <v>1</v>
      </c>
    </row>
    <row r="17" spans="1:11" x14ac:dyDescent="0.2">
      <c r="A17">
        <v>12</v>
      </c>
      <c r="B17">
        <v>0</v>
      </c>
      <c r="C17" s="2"/>
      <c r="D17">
        <v>0</v>
      </c>
      <c r="E17" t="s">
        <v>11</v>
      </c>
      <c r="H17">
        <v>12</v>
      </c>
      <c r="I17">
        <v>1</v>
      </c>
      <c r="J17">
        <v>5.19</v>
      </c>
      <c r="K17" s="3">
        <f>H17/(SUM($I$6:I17))</f>
        <v>1</v>
      </c>
    </row>
    <row r="18" spans="1:11" x14ac:dyDescent="0.2">
      <c r="A18">
        <v>13</v>
      </c>
      <c r="B18">
        <v>0</v>
      </c>
      <c r="C18">
        <v>7.14</v>
      </c>
      <c r="D18">
        <v>0</v>
      </c>
      <c r="E18" t="s">
        <v>9</v>
      </c>
      <c r="H18">
        <v>13</v>
      </c>
      <c r="I18">
        <v>1</v>
      </c>
      <c r="J18">
        <v>5.34</v>
      </c>
      <c r="K18" s="3">
        <f>H18/(SUM($I$6:I18))</f>
        <v>1</v>
      </c>
    </row>
    <row r="19" spans="1:11" x14ac:dyDescent="0.2">
      <c r="A19">
        <v>14</v>
      </c>
      <c r="B19">
        <v>0</v>
      </c>
      <c r="C19" s="2">
        <v>7.48</v>
      </c>
      <c r="D19">
        <v>0</v>
      </c>
      <c r="E19" t="s">
        <v>9</v>
      </c>
      <c r="H19">
        <v>14</v>
      </c>
      <c r="I19">
        <v>1</v>
      </c>
      <c r="J19">
        <v>4.5999999999999996</v>
      </c>
      <c r="K19" s="3">
        <f>H19/(SUM($I$6:I19))</f>
        <v>1</v>
      </c>
    </row>
    <row r="20" spans="1:11" x14ac:dyDescent="0.2">
      <c r="A20">
        <v>15</v>
      </c>
      <c r="B20">
        <v>0</v>
      </c>
      <c r="C20" s="2"/>
      <c r="D20">
        <v>0</v>
      </c>
      <c r="E20" t="s">
        <v>12</v>
      </c>
      <c r="H20">
        <v>15</v>
      </c>
      <c r="I20">
        <v>1</v>
      </c>
      <c r="J20">
        <v>5.22</v>
      </c>
      <c r="K20" s="3">
        <f>H20/(SUM($I$6:I20))</f>
        <v>1</v>
      </c>
    </row>
    <row r="21" spans="1:11" x14ac:dyDescent="0.2">
      <c r="A21">
        <v>16</v>
      </c>
      <c r="B21">
        <v>0</v>
      </c>
      <c r="C21" s="2">
        <v>8.6300000000000008</v>
      </c>
      <c r="D21">
        <v>0</v>
      </c>
      <c r="E21" t="s">
        <v>13</v>
      </c>
      <c r="H21">
        <v>16</v>
      </c>
      <c r="I21">
        <v>1</v>
      </c>
      <c r="J21">
        <v>4.59</v>
      </c>
      <c r="K21" s="3">
        <f>H21/(SUM($I$6:I21))</f>
        <v>1</v>
      </c>
    </row>
    <row r="22" spans="1:11" x14ac:dyDescent="0.2">
      <c r="A22">
        <v>17</v>
      </c>
      <c r="B22">
        <v>0</v>
      </c>
      <c r="C22" s="2">
        <v>5.55</v>
      </c>
      <c r="D22">
        <v>0</v>
      </c>
      <c r="E22" t="s">
        <v>9</v>
      </c>
      <c r="H22">
        <v>17</v>
      </c>
      <c r="I22">
        <v>1</v>
      </c>
      <c r="J22">
        <v>3.97</v>
      </c>
      <c r="K22" s="3">
        <f>H22/(SUM($I$6:I22))</f>
        <v>1</v>
      </c>
    </row>
    <row r="23" spans="1:11" x14ac:dyDescent="0.2">
      <c r="A23">
        <v>18</v>
      </c>
      <c r="B23">
        <v>0</v>
      </c>
      <c r="C23" s="2">
        <v>10.029999999999999</v>
      </c>
      <c r="D23">
        <v>0</v>
      </c>
      <c r="E23" t="s">
        <v>13</v>
      </c>
      <c r="H23">
        <v>18</v>
      </c>
      <c r="I23">
        <v>1</v>
      </c>
      <c r="J23">
        <v>4.26</v>
      </c>
      <c r="K23" s="3">
        <f>H23/(SUM($I$6:I23))</f>
        <v>1</v>
      </c>
    </row>
    <row r="24" spans="1:11" x14ac:dyDescent="0.2">
      <c r="A24">
        <v>19</v>
      </c>
      <c r="B24">
        <v>0</v>
      </c>
      <c r="C24" s="2"/>
      <c r="D24">
        <v>0</v>
      </c>
      <c r="E24" t="s">
        <v>11</v>
      </c>
      <c r="H24">
        <v>19</v>
      </c>
      <c r="I24">
        <v>1</v>
      </c>
      <c r="J24">
        <v>5.66</v>
      </c>
      <c r="K24" s="3">
        <f>H24/(SUM($I$6:I24))</f>
        <v>1</v>
      </c>
    </row>
    <row r="25" spans="1:11" x14ac:dyDescent="0.2">
      <c r="A25">
        <v>20</v>
      </c>
      <c r="B25">
        <v>0</v>
      </c>
      <c r="C25" s="2">
        <v>6.68</v>
      </c>
      <c r="D25">
        <v>0</v>
      </c>
      <c r="E25" t="s">
        <v>9</v>
      </c>
      <c r="H25">
        <v>20</v>
      </c>
      <c r="I25">
        <v>1</v>
      </c>
      <c r="J25">
        <v>4.6500000000000004</v>
      </c>
      <c r="K25" s="3">
        <f>H25/(SUM($I$6:I25))</f>
        <v>1</v>
      </c>
    </row>
    <row r="26" spans="1:11" x14ac:dyDescent="0.2">
      <c r="A26">
        <v>21</v>
      </c>
      <c r="B26">
        <v>0</v>
      </c>
      <c r="C26" s="2">
        <v>6.43</v>
      </c>
      <c r="D26">
        <v>0</v>
      </c>
      <c r="E26" t="s">
        <v>9</v>
      </c>
      <c r="H26">
        <v>21</v>
      </c>
      <c r="I26">
        <v>1</v>
      </c>
      <c r="J26">
        <v>3.71</v>
      </c>
      <c r="K26" s="3">
        <f>H26/(SUM($I$6:I26))</f>
        <v>1</v>
      </c>
    </row>
    <row r="27" spans="1:11" x14ac:dyDescent="0.2">
      <c r="A27">
        <v>22</v>
      </c>
      <c r="B27">
        <v>0</v>
      </c>
      <c r="C27" s="2"/>
      <c r="D27">
        <v>0</v>
      </c>
      <c r="E27" t="s">
        <v>11</v>
      </c>
      <c r="H27">
        <v>22</v>
      </c>
      <c r="I27">
        <v>1</v>
      </c>
      <c r="J27">
        <v>4.45</v>
      </c>
      <c r="K27" s="3">
        <f>H27/(SUM($I$6:I27))</f>
        <v>1</v>
      </c>
    </row>
    <row r="28" spans="1:11" x14ac:dyDescent="0.2">
      <c r="A28">
        <v>23</v>
      </c>
      <c r="B28">
        <v>0</v>
      </c>
      <c r="C28" s="2"/>
      <c r="D28">
        <v>0</v>
      </c>
      <c r="E28" t="s">
        <v>11</v>
      </c>
      <c r="H28">
        <v>23</v>
      </c>
      <c r="I28">
        <v>1</v>
      </c>
      <c r="J28">
        <v>4.7</v>
      </c>
      <c r="K28" s="3">
        <f>H28/(SUM($I$6:I28))</f>
        <v>1</v>
      </c>
    </row>
    <row r="29" spans="1:11" x14ac:dyDescent="0.2">
      <c r="A29">
        <v>24</v>
      </c>
      <c r="B29">
        <v>0</v>
      </c>
      <c r="C29">
        <v>6.26</v>
      </c>
      <c r="D29">
        <v>0</v>
      </c>
      <c r="E29" t="s">
        <v>9</v>
      </c>
      <c r="H29">
        <v>24</v>
      </c>
      <c r="I29">
        <v>1</v>
      </c>
      <c r="J29">
        <v>4.5199999999999996</v>
      </c>
      <c r="K29" s="3">
        <f>H29/(SUM($I$6:I29))</f>
        <v>1</v>
      </c>
    </row>
    <row r="30" spans="1:11" x14ac:dyDescent="0.2">
      <c r="A30">
        <v>25</v>
      </c>
      <c r="B30">
        <v>0</v>
      </c>
      <c r="C30" s="2">
        <v>6.75</v>
      </c>
      <c r="D30">
        <v>0</v>
      </c>
      <c r="E30" t="s">
        <v>9</v>
      </c>
      <c r="H30">
        <v>25</v>
      </c>
      <c r="I30">
        <v>1</v>
      </c>
      <c r="J30">
        <v>4.22</v>
      </c>
      <c r="K30" s="3">
        <f>H30/(SUM($I$6:I30))</f>
        <v>1</v>
      </c>
    </row>
    <row r="34" spans="1:21" x14ac:dyDescent="0.2">
      <c r="A34" t="s">
        <v>15</v>
      </c>
      <c r="Q34" t="s">
        <v>30</v>
      </c>
    </row>
    <row r="35" spans="1:21" x14ac:dyDescent="0.2">
      <c r="A35" t="s">
        <v>16</v>
      </c>
      <c r="Q35" t="s">
        <v>29</v>
      </c>
    </row>
    <row r="36" spans="1:21" x14ac:dyDescent="0.2">
      <c r="A36" t="s">
        <v>14</v>
      </c>
      <c r="Q36" t="s">
        <v>14</v>
      </c>
    </row>
    <row r="37" spans="1:21" x14ac:dyDescent="0.2">
      <c r="A37" s="1" t="s">
        <v>3</v>
      </c>
      <c r="B37" s="1" t="s">
        <v>6</v>
      </c>
      <c r="C37" s="1" t="s">
        <v>4</v>
      </c>
      <c r="D37" s="1" t="s">
        <v>5</v>
      </c>
      <c r="E37" s="1" t="s">
        <v>7</v>
      </c>
      <c r="Q37" s="1" t="s">
        <v>3</v>
      </c>
      <c r="R37" s="1" t="s">
        <v>6</v>
      </c>
      <c r="S37" s="1" t="s">
        <v>4</v>
      </c>
      <c r="T37" s="1" t="s">
        <v>5</v>
      </c>
      <c r="U37" s="1" t="s">
        <v>7</v>
      </c>
    </row>
    <row r="38" spans="1:21" x14ac:dyDescent="0.2">
      <c r="A38">
        <v>1</v>
      </c>
      <c r="B38">
        <v>0</v>
      </c>
      <c r="C38">
        <v>19.23</v>
      </c>
      <c r="E38" t="s">
        <v>18</v>
      </c>
      <c r="K38" t="s">
        <v>33</v>
      </c>
      <c r="Q38">
        <v>1</v>
      </c>
      <c r="R38">
        <v>1</v>
      </c>
      <c r="S38">
        <v>82.56</v>
      </c>
      <c r="U38" t="s">
        <v>31</v>
      </c>
    </row>
    <row r="39" spans="1:21" x14ac:dyDescent="0.2">
      <c r="A39">
        <v>2</v>
      </c>
      <c r="B39">
        <v>0</v>
      </c>
      <c r="C39">
        <v>29.86</v>
      </c>
      <c r="E39" t="s">
        <v>19</v>
      </c>
      <c r="Q39">
        <v>2</v>
      </c>
      <c r="R39">
        <v>0</v>
      </c>
      <c r="S39">
        <v>86.42</v>
      </c>
      <c r="U39" t="s">
        <v>34</v>
      </c>
    </row>
    <row r="40" spans="1:21" x14ac:dyDescent="0.2">
      <c r="A40">
        <v>3</v>
      </c>
      <c r="B40">
        <v>0</v>
      </c>
      <c r="C40">
        <v>29.66</v>
      </c>
      <c r="E40" t="s">
        <v>17</v>
      </c>
      <c r="Q40">
        <v>3</v>
      </c>
      <c r="R40">
        <v>0</v>
      </c>
      <c r="S40">
        <v>87.68</v>
      </c>
      <c r="U40" t="s">
        <v>35</v>
      </c>
    </row>
    <row r="41" spans="1:21" x14ac:dyDescent="0.2">
      <c r="A41">
        <v>4</v>
      </c>
      <c r="B41">
        <v>0</v>
      </c>
      <c r="C41">
        <v>22.22</v>
      </c>
      <c r="E41" t="s">
        <v>17</v>
      </c>
      <c r="Q41">
        <v>4</v>
      </c>
      <c r="R41">
        <v>0</v>
      </c>
      <c r="S41">
        <v>94.57</v>
      </c>
      <c r="U41" t="s">
        <v>36</v>
      </c>
    </row>
    <row r="42" spans="1:21" x14ac:dyDescent="0.2">
      <c r="A42">
        <v>5</v>
      </c>
      <c r="B42">
        <v>0</v>
      </c>
      <c r="C42">
        <v>26.38</v>
      </c>
      <c r="E42" t="s">
        <v>20</v>
      </c>
      <c r="Q42">
        <v>5</v>
      </c>
    </row>
    <row r="43" spans="1:21" x14ac:dyDescent="0.2">
      <c r="A43">
        <v>6</v>
      </c>
      <c r="B43">
        <v>0</v>
      </c>
      <c r="C43">
        <v>30.56</v>
      </c>
      <c r="E43" t="s">
        <v>17</v>
      </c>
      <c r="Q43">
        <v>6</v>
      </c>
    </row>
    <row r="44" spans="1:21" x14ac:dyDescent="0.2">
      <c r="A44">
        <v>7</v>
      </c>
      <c r="B44">
        <v>0</v>
      </c>
      <c r="C44">
        <v>26.39</v>
      </c>
      <c r="E44" t="s">
        <v>21</v>
      </c>
      <c r="Q44">
        <v>7</v>
      </c>
    </row>
    <row r="45" spans="1:21" x14ac:dyDescent="0.2">
      <c r="A45">
        <v>8</v>
      </c>
      <c r="B45">
        <v>0</v>
      </c>
      <c r="C45">
        <v>26.68</v>
      </c>
      <c r="E45" t="s">
        <v>21</v>
      </c>
      <c r="Q45">
        <v>8</v>
      </c>
    </row>
    <row r="46" spans="1:21" x14ac:dyDescent="0.2">
      <c r="A46">
        <v>9</v>
      </c>
      <c r="B46">
        <v>0</v>
      </c>
      <c r="C46">
        <v>29.96</v>
      </c>
      <c r="E46" t="s">
        <v>17</v>
      </c>
      <c r="Q46">
        <v>9</v>
      </c>
    </row>
    <row r="47" spans="1:21" x14ac:dyDescent="0.2">
      <c r="A47">
        <v>10</v>
      </c>
      <c r="B47">
        <v>0</v>
      </c>
      <c r="C47">
        <v>42.2</v>
      </c>
      <c r="E47" t="s">
        <v>22</v>
      </c>
      <c r="Q47">
        <v>10</v>
      </c>
    </row>
    <row r="48" spans="1:21" x14ac:dyDescent="0.2">
      <c r="A48">
        <v>11</v>
      </c>
      <c r="B48">
        <v>0</v>
      </c>
      <c r="C48">
        <v>28.86</v>
      </c>
      <c r="E48" t="s">
        <v>21</v>
      </c>
      <c r="Q48">
        <v>11</v>
      </c>
    </row>
    <row r="49" spans="1:17" x14ac:dyDescent="0.2">
      <c r="A49">
        <v>12</v>
      </c>
      <c r="B49">
        <v>0</v>
      </c>
      <c r="C49">
        <v>27.31</v>
      </c>
      <c r="E49" t="s">
        <v>21</v>
      </c>
      <c r="Q49">
        <v>12</v>
      </c>
    </row>
    <row r="50" spans="1:17" x14ac:dyDescent="0.2">
      <c r="A50">
        <v>13</v>
      </c>
      <c r="B50">
        <v>0</v>
      </c>
      <c r="C50">
        <v>30.28</v>
      </c>
      <c r="E50" t="s">
        <v>17</v>
      </c>
      <c r="Q50">
        <v>13</v>
      </c>
    </row>
    <row r="51" spans="1:17" x14ac:dyDescent="0.2">
      <c r="A51">
        <v>14</v>
      </c>
      <c r="B51">
        <v>0</v>
      </c>
      <c r="C51">
        <v>31.11</v>
      </c>
      <c r="E51" t="s">
        <v>21</v>
      </c>
      <c r="Q51">
        <v>14</v>
      </c>
    </row>
    <row r="52" spans="1:17" x14ac:dyDescent="0.2">
      <c r="A52">
        <v>15</v>
      </c>
      <c r="B52">
        <v>0</v>
      </c>
      <c r="C52">
        <v>32.340000000000003</v>
      </c>
      <c r="E52" t="s">
        <v>17</v>
      </c>
      <c r="Q52">
        <v>15</v>
      </c>
    </row>
    <row r="53" spans="1:17" x14ac:dyDescent="0.2">
      <c r="A53">
        <v>16</v>
      </c>
      <c r="B53">
        <v>0</v>
      </c>
      <c r="C53">
        <v>34.479999999999997</v>
      </c>
      <c r="E53" t="s">
        <v>17</v>
      </c>
      <c r="Q53">
        <v>16</v>
      </c>
    </row>
    <row r="54" spans="1:17" x14ac:dyDescent="0.2">
      <c r="A54">
        <v>17</v>
      </c>
      <c r="B54">
        <v>0</v>
      </c>
      <c r="C54">
        <v>29.7</v>
      </c>
      <c r="E54" t="s">
        <v>20</v>
      </c>
      <c r="Q54">
        <v>17</v>
      </c>
    </row>
    <row r="55" spans="1:17" x14ac:dyDescent="0.2">
      <c r="A55">
        <v>18</v>
      </c>
      <c r="B55">
        <v>0</v>
      </c>
      <c r="C55">
        <v>31.87</v>
      </c>
      <c r="E55" t="s">
        <v>25</v>
      </c>
      <c r="Q55">
        <v>18</v>
      </c>
    </row>
    <row r="56" spans="1:17" x14ac:dyDescent="0.2">
      <c r="A56">
        <v>19</v>
      </c>
      <c r="B56">
        <v>0</v>
      </c>
      <c r="C56">
        <v>30.14</v>
      </c>
      <c r="E56" t="s">
        <v>17</v>
      </c>
      <c r="Q56">
        <v>19</v>
      </c>
    </row>
    <row r="57" spans="1:17" x14ac:dyDescent="0.2">
      <c r="A57">
        <v>20</v>
      </c>
      <c r="B57">
        <v>0</v>
      </c>
      <c r="C57">
        <v>31.87</v>
      </c>
      <c r="E57" t="s">
        <v>24</v>
      </c>
      <c r="Q57">
        <v>20</v>
      </c>
    </row>
    <row r="58" spans="1:17" x14ac:dyDescent="0.2">
      <c r="A58">
        <v>32</v>
      </c>
      <c r="B58">
        <v>0</v>
      </c>
      <c r="C58">
        <v>30.06</v>
      </c>
      <c r="E58" t="s">
        <v>20</v>
      </c>
      <c r="Q58">
        <v>21</v>
      </c>
    </row>
    <row r="59" spans="1:17" x14ac:dyDescent="0.2">
      <c r="A59">
        <v>22</v>
      </c>
      <c r="B59">
        <v>0</v>
      </c>
      <c r="C59">
        <v>34.43</v>
      </c>
      <c r="E59" t="s">
        <v>22</v>
      </c>
      <c r="Q59">
        <v>22</v>
      </c>
    </row>
    <row r="60" spans="1:17" x14ac:dyDescent="0.2">
      <c r="A60">
        <v>23</v>
      </c>
      <c r="B60">
        <v>0</v>
      </c>
      <c r="C60">
        <v>33.68</v>
      </c>
      <c r="E60" t="s">
        <v>27</v>
      </c>
      <c r="Q60">
        <v>23</v>
      </c>
    </row>
    <row r="61" spans="1:17" x14ac:dyDescent="0.2">
      <c r="A61">
        <v>24</v>
      </c>
      <c r="B61">
        <v>0</v>
      </c>
      <c r="C61">
        <v>29.43</v>
      </c>
      <c r="E61" t="s">
        <v>21</v>
      </c>
      <c r="Q61">
        <v>24</v>
      </c>
    </row>
    <row r="62" spans="1:17" x14ac:dyDescent="0.2">
      <c r="A62">
        <v>25</v>
      </c>
      <c r="B62">
        <v>0</v>
      </c>
      <c r="C62">
        <v>28.95</v>
      </c>
      <c r="E62" t="s">
        <v>19</v>
      </c>
      <c r="Q62">
        <v>25</v>
      </c>
    </row>
    <row r="63" spans="1:17" x14ac:dyDescent="0.2">
      <c r="A63" t="s">
        <v>23</v>
      </c>
      <c r="Q63" t="s">
        <v>32</v>
      </c>
    </row>
    <row r="64" spans="1:17" x14ac:dyDescent="0.2">
      <c r="A64" t="s">
        <v>28</v>
      </c>
      <c r="Q64" t="s">
        <v>37</v>
      </c>
    </row>
    <row r="65" spans="1:1" x14ac:dyDescent="0.2">
      <c r="A65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GenericTests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Patil</dc:creator>
  <cp:lastModifiedBy>Anish Patil</cp:lastModifiedBy>
  <dcterms:created xsi:type="dcterms:W3CDTF">2026-04-26T00:02:56Z</dcterms:created>
  <dcterms:modified xsi:type="dcterms:W3CDTF">2026-06-22T17:45:16Z</dcterms:modified>
</cp:coreProperties>
</file>